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gumo/Downloads/"/>
    </mc:Choice>
  </mc:AlternateContent>
  <xr:revisionPtr revIDLastSave="0" documentId="13_ncr:1_{489FEB94-2116-7946-97B3-88DDFD098656}" xr6:coauthVersionLast="47" xr6:coauthVersionMax="47" xr10:uidLastSave="{00000000-0000-0000-0000-000000000000}"/>
  <bookViews>
    <workbookView xWindow="0" yWindow="0" windowWidth="40960" windowHeight="23040" activeTab="1" xr2:uid="{17425FC9-4ABB-F947-BC70-03D667A8FBE2}"/>
  </bookViews>
  <sheets>
    <sheet name="JBepoxy_measurements_2025-05-16" sheetId="1" r:id="rId1"/>
    <sheet name="JBManual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" l="1"/>
  <c r="E15" i="2"/>
  <c r="E16" i="2"/>
  <c r="E13" i="2"/>
  <c r="E7" i="2"/>
  <c r="E8" i="2"/>
  <c r="E9" i="2"/>
  <c r="E6" i="2"/>
  <c r="C8" i="2"/>
  <c r="C7" i="2"/>
  <c r="C6" i="2"/>
  <c r="E2" i="2" l="1"/>
</calcChain>
</file>

<file path=xl/sharedStrings.xml><?xml version="1.0" encoding="utf-8"?>
<sst xmlns="http://schemas.openxmlformats.org/spreadsheetml/2006/main" count="35" uniqueCount="18">
  <si>
    <t>Date</t>
  </si>
  <si>
    <t>Area (cm^2)</t>
  </si>
  <si>
    <t>Thickness (cm)</t>
  </si>
  <si>
    <t>NOTE: Use rear terminals with triaxial cables</t>
  </si>
  <si>
    <t>TRIAL 1: +V</t>
  </si>
  <si>
    <t>Voltage (V)</t>
  </si>
  <si>
    <t>V_meas (V)</t>
  </si>
  <si>
    <t>I_meas (pA)</t>
  </si>
  <si>
    <t>StdDev</t>
  </si>
  <si>
    <t>Resistivity (Œ©¬∑cm)</t>
  </si>
  <si>
    <t>TRIAL 2: -V</t>
  </si>
  <si>
    <t>StdDev (pA)</t>
  </si>
  <si>
    <t>Limit at 10nA</t>
  </si>
  <si>
    <t>switched to 100nA</t>
  </si>
  <si>
    <t xml:space="preserve">Voltage Obs (V) </t>
  </si>
  <si>
    <t>Resistivity (Ohm cm)</t>
  </si>
  <si>
    <t xml:space="preserve">limit was reached and then disappeared </t>
  </si>
  <si>
    <t>Measured Current (pA)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</si>
</sst>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E+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Current vs Voltage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JBManual!$A$4</c:f>
              <c:strCache>
                <c:ptCount val="1"/>
                <c:pt idx="0">
                  <c:v>TRIAL 1: +V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911738576212311"/>
                  <c:y val="-6.88292972812360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JBManual!$B$6:$B$10</c:f>
              <c:numCache>
                <c:formatCode>General</c:formatCode>
                <c:ptCount val="5"/>
                <c:pt idx="0">
                  <c:v>25.001999999999999</c:v>
                </c:pt>
                <c:pt idx="1">
                  <c:v>49.999000000000002</c:v>
                </c:pt>
                <c:pt idx="2" formatCode="0.000">
                  <c:v>100.001</c:v>
                </c:pt>
                <c:pt idx="3">
                  <c:v>149.99700000000001</c:v>
                </c:pt>
                <c:pt idx="4">
                  <c:v>199.995</c:v>
                </c:pt>
              </c:numCache>
            </c:numRef>
          </c:xVal>
          <c:yVal>
            <c:numRef>
              <c:f>JBManual!$C$6:$C$10</c:f>
              <c:numCache>
                <c:formatCode>0.0</c:formatCode>
                <c:ptCount val="5"/>
                <c:pt idx="0" formatCode="General">
                  <c:v>2200</c:v>
                </c:pt>
                <c:pt idx="1">
                  <c:v>4000</c:v>
                </c:pt>
                <c:pt idx="2" formatCode="General">
                  <c:v>7500</c:v>
                </c:pt>
                <c:pt idx="3" formatCode="General">
                  <c:v>10500</c:v>
                </c:pt>
                <c:pt idx="4" formatCode="General">
                  <c:v>13800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B-8447-8B5D-029EF83F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76239"/>
        <c:axId val="199577951"/>
      </c:scatterChart>
      <c:valAx>
        <c:axId val="1995762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Voltage Obs (V)</a:t>
                </a:r>
                <a:r>
                  <a:rPr lang="en-US" sz="1000" b="0" i="0" u="none" strike="noStrike" baseline="0"/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7951"/>
        <c:crosses val="autoZero"/>
        <c:crossBetween val="midCat"/>
      </c:valAx>
      <c:valAx>
        <c:axId val="1995779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(nA)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6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Resistivity vs Voltage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JBManual!$A$4</c:f>
              <c:strCache>
                <c:ptCount val="1"/>
                <c:pt idx="0">
                  <c:v>TRIAL 1: +V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(JBManual!$B$6:$B$7,JBManual!$B$9:$B$10)</c:f>
              <c:numCache>
                <c:formatCode>General</c:formatCode>
                <c:ptCount val="4"/>
                <c:pt idx="0">
                  <c:v>25.001999999999999</c:v>
                </c:pt>
                <c:pt idx="1">
                  <c:v>49.999000000000002</c:v>
                </c:pt>
                <c:pt idx="2">
                  <c:v>149.99700000000001</c:v>
                </c:pt>
                <c:pt idx="3">
                  <c:v>199.995</c:v>
                </c:pt>
              </c:numCache>
            </c:numRef>
          </c:xVal>
          <c:yVal>
            <c:numRef>
              <c:f>(JBManual!$E$6:$E$7,JBManual!$E$9)</c:f>
              <c:numCache>
                <c:formatCode>0.0E+00</c:formatCode>
                <c:ptCount val="3"/>
                <c:pt idx="0">
                  <c:v>902391700000.00024</c:v>
                </c:pt>
                <c:pt idx="1">
                  <c:v>928322845714.28577</c:v>
                </c:pt>
                <c:pt idx="2">
                  <c:v>984506072727.27258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9C-684B-AE82-11DC49506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92255"/>
        <c:axId val="1985366096"/>
      </c:scatterChart>
      <c:valAx>
        <c:axId val="20009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</a:rPr>
                  <a:t>Voltage Obs (V)</a:t>
                </a: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366096"/>
        <c:crosses val="autoZero"/>
        <c:crossBetween val="midCat"/>
      </c:valAx>
      <c:valAx>
        <c:axId val="1985366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Resistivity</a:t>
                </a:r>
                <a:r>
                  <a:rPr lang="en-US" baseline="0"/>
                  <a:t> (Ohm cm)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16278906240043E-2"/>
              <c:y val="0.275145595008171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92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8467</xdr:colOff>
      <xdr:row>1</xdr:row>
      <xdr:rowOff>194733</xdr:rowOff>
    </xdr:from>
    <xdr:to>
      <xdr:col>12</xdr:col>
      <xdr:colOff>431800</xdr:colOff>
      <xdr:row>15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DDACFC-02A2-7253-1525-C4FDED443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8467</xdr:colOff>
      <xdr:row>15</xdr:row>
      <xdr:rowOff>110066</xdr:rowOff>
    </xdr:from>
    <xdr:to>
      <xdr:col>12</xdr:col>
      <xdr:colOff>431801</xdr:colOff>
      <xdr:row>29</xdr:row>
      <xdr:rowOff>8466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3AAA76-0864-FDCB-FAE4-1298238D4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9D46C-1C39-A14F-9C75-E133A90F9E82}">
  <dimension ref="A1:E17"/>
  <sheetViews>
    <sheetView workbookViewId="0">
      <selection activeCell="F10" sqref="A4:F10"/>
    </sheetView>
  </sheetViews>
  <sheetFormatPr baseColWidth="10" defaultRowHeight="16" x14ac:dyDescent="0.2"/>
  <cols>
    <col min="1" max="1" width="37.5" bestFit="1" customWidth="1"/>
    <col min="2" max="2" width="10" bestFit="1" customWidth="1"/>
    <col min="3" max="3" width="13.1640625" bestFit="1" customWidth="1"/>
    <col min="4" max="4" width="7" bestFit="1" customWidth="1"/>
    <col min="5" max="5" width="18.6640625" bestFit="1" customWidth="1"/>
  </cols>
  <sheetData>
    <row r="1" spans="1:5" x14ac:dyDescent="0.2">
      <c r="A1" t="s">
        <v>0</v>
      </c>
      <c r="B1" s="1">
        <v>45793</v>
      </c>
    </row>
    <row r="2" spans="1:5" x14ac:dyDescent="0.2">
      <c r="A2" t="s">
        <v>1</v>
      </c>
      <c r="B2">
        <v>11.696400000000001</v>
      </c>
      <c r="C2" t="s">
        <v>2</v>
      </c>
      <c r="D2">
        <v>0.18</v>
      </c>
    </row>
    <row r="3" spans="1:5" x14ac:dyDescent="0.2">
      <c r="A3" t="s">
        <v>3</v>
      </c>
    </row>
    <row r="4" spans="1:5" x14ac:dyDescent="0.2">
      <c r="A4" t="s">
        <v>4</v>
      </c>
    </row>
    <row r="5" spans="1:5" x14ac:dyDescent="0.2">
      <c r="A5" t="s">
        <v>5</v>
      </c>
      <c r="B5" t="s">
        <v>6</v>
      </c>
      <c r="C5" t="s">
        <v>7</v>
      </c>
      <c r="D5" t="s">
        <v>8</v>
      </c>
      <c r="E5" t="s">
        <v>9</v>
      </c>
    </row>
    <row r="6" spans="1:5" x14ac:dyDescent="0.2">
      <c r="A6">
        <v>25</v>
      </c>
      <c r="B6">
        <v>25.001999999999999</v>
      </c>
      <c r="C6">
        <v>5909.5</v>
      </c>
      <c r="D6">
        <v>1.7</v>
      </c>
      <c r="E6" s="2">
        <v>275000000000</v>
      </c>
    </row>
    <row r="7" spans="1:5" x14ac:dyDescent="0.2">
      <c r="A7">
        <v>50</v>
      </c>
      <c r="B7">
        <v>49.99</v>
      </c>
      <c r="C7">
        <v>10456.5</v>
      </c>
      <c r="D7">
        <v>2</v>
      </c>
      <c r="E7" s="2">
        <v>311000000000</v>
      </c>
    </row>
    <row r="8" spans="1:5" x14ac:dyDescent="0.2">
      <c r="A8">
        <v>100</v>
      </c>
      <c r="B8">
        <v>54.801000000000002</v>
      </c>
      <c r="C8">
        <v>10499.6</v>
      </c>
      <c r="D8">
        <v>0</v>
      </c>
      <c r="E8" s="2">
        <v>339000000000</v>
      </c>
    </row>
    <row r="9" spans="1:5" x14ac:dyDescent="0.2">
      <c r="A9">
        <v>150</v>
      </c>
      <c r="B9">
        <v>59.75</v>
      </c>
      <c r="C9">
        <v>10499.5</v>
      </c>
      <c r="D9">
        <v>0</v>
      </c>
      <c r="E9" s="2">
        <v>370000000000</v>
      </c>
    </row>
    <row r="10" spans="1:5" x14ac:dyDescent="0.2">
      <c r="A10">
        <v>200</v>
      </c>
      <c r="B10">
        <v>64.584999999999994</v>
      </c>
      <c r="C10">
        <v>10499.3</v>
      </c>
      <c r="D10">
        <v>0</v>
      </c>
      <c r="E10" s="2">
        <v>400000000000</v>
      </c>
    </row>
    <row r="11" spans="1:5" x14ac:dyDescent="0.2">
      <c r="A11" t="s">
        <v>10</v>
      </c>
    </row>
    <row r="12" spans="1:5" x14ac:dyDescent="0.2">
      <c r="A12" t="s">
        <v>5</v>
      </c>
      <c r="B12" t="s">
        <v>6</v>
      </c>
      <c r="C12" t="s">
        <v>7</v>
      </c>
      <c r="D12" t="s">
        <v>8</v>
      </c>
      <c r="E12" t="s">
        <v>9</v>
      </c>
    </row>
    <row r="13" spans="1:5" x14ac:dyDescent="0.2">
      <c r="A13">
        <v>-25</v>
      </c>
      <c r="B13">
        <v>-25.001000000000001</v>
      </c>
      <c r="C13">
        <v>-3476.1</v>
      </c>
      <c r="D13">
        <v>0.5</v>
      </c>
      <c r="E13" s="2">
        <v>467000000000</v>
      </c>
    </row>
    <row r="14" spans="1:5" x14ac:dyDescent="0.2">
      <c r="A14">
        <v>-50</v>
      </c>
      <c r="B14">
        <v>-50</v>
      </c>
      <c r="C14">
        <v>-6701.3</v>
      </c>
      <c r="D14">
        <v>1</v>
      </c>
      <c r="E14" s="2">
        <v>485000000000</v>
      </c>
    </row>
    <row r="15" spans="1:5" x14ac:dyDescent="0.2">
      <c r="A15">
        <v>-100</v>
      </c>
      <c r="B15">
        <v>-82.39</v>
      </c>
      <c r="C15">
        <v>-10498.5</v>
      </c>
      <c r="D15">
        <v>0</v>
      </c>
      <c r="E15" s="2">
        <v>510000000000</v>
      </c>
    </row>
    <row r="16" spans="1:5" x14ac:dyDescent="0.2">
      <c r="A16">
        <v>-150</v>
      </c>
      <c r="B16">
        <v>-87.632999999999996</v>
      </c>
      <c r="C16">
        <v>-10498.6</v>
      </c>
      <c r="D16">
        <v>0</v>
      </c>
      <c r="E16" s="2">
        <v>542000000000</v>
      </c>
    </row>
    <row r="17" spans="1:5" x14ac:dyDescent="0.2">
      <c r="A17">
        <v>-200</v>
      </c>
      <c r="B17">
        <v>-92.546999999999997</v>
      </c>
      <c r="C17">
        <v>-10498.5</v>
      </c>
      <c r="D17">
        <v>0</v>
      </c>
      <c r="E17" s="2">
        <v>573000000000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5D99-61C8-E241-B363-65881F55E1B2}">
  <dimension ref="A1:G17"/>
  <sheetViews>
    <sheetView tabSelected="1" topLeftCell="A2" zoomScale="140" zoomScaleNormal="140" workbookViewId="0">
      <selection activeCell="B5" sqref="B5:E17"/>
    </sheetView>
  </sheetViews>
  <sheetFormatPr baseColWidth="10" defaultRowHeight="16" x14ac:dyDescent="0.2"/>
  <cols>
    <col min="1" max="1" width="11" bestFit="1" customWidth="1"/>
    <col min="2" max="2" width="13.6640625" bestFit="1" customWidth="1"/>
    <col min="3" max="3" width="19.6640625" bestFit="1" customWidth="1"/>
    <col min="4" max="4" width="10.6640625" bestFit="1" customWidth="1"/>
    <col min="5" max="5" width="18.6640625" bestFit="1" customWidth="1"/>
    <col min="6" max="6" width="15.83203125" bestFit="1" customWidth="1"/>
    <col min="7" max="7" width="11.5" bestFit="1" customWidth="1"/>
  </cols>
  <sheetData>
    <row r="1" spans="1:7" x14ac:dyDescent="0.2">
      <c r="A1" t="s">
        <v>0</v>
      </c>
      <c r="B1" s="1">
        <v>45793</v>
      </c>
    </row>
    <row r="2" spans="1:7" x14ac:dyDescent="0.2">
      <c r="A2" t="s">
        <v>1</v>
      </c>
      <c r="B2">
        <v>11.696400000000001</v>
      </c>
      <c r="C2" t="s">
        <v>2</v>
      </c>
      <c r="D2">
        <v>0.18</v>
      </c>
      <c r="E2">
        <f>B2/D2</f>
        <v>64.98</v>
      </c>
      <c r="F2">
        <v>1000</v>
      </c>
    </row>
    <row r="4" spans="1:7" x14ac:dyDescent="0.2">
      <c r="A4" t="s">
        <v>4</v>
      </c>
    </row>
    <row r="5" spans="1:7" x14ac:dyDescent="0.2">
      <c r="A5" t="s">
        <v>5</v>
      </c>
      <c r="B5" t="s">
        <v>14</v>
      </c>
      <c r="C5" t="s">
        <v>17</v>
      </c>
      <c r="D5" t="s">
        <v>11</v>
      </c>
      <c r="E5" t="s">
        <v>15</v>
      </c>
    </row>
    <row r="6" spans="1:7" x14ac:dyDescent="0.2">
      <c r="A6">
        <v>25</v>
      </c>
      <c r="B6">
        <v>25.001999999999999</v>
      </c>
      <c r="C6">
        <f>2.2*$F$2</f>
        <v>2200</v>
      </c>
      <c r="D6">
        <v>20.2</v>
      </c>
      <c r="E6" s="5">
        <f xml:space="preserve"> (B7-B6)/(C7-C6)*10^12*$E$2</f>
        <v>902391700000.00024</v>
      </c>
    </row>
    <row r="7" spans="1:7" x14ac:dyDescent="0.2">
      <c r="A7">
        <v>50</v>
      </c>
      <c r="B7">
        <v>49.999000000000002</v>
      </c>
      <c r="C7" s="3">
        <f>4*F2</f>
        <v>4000</v>
      </c>
      <c r="D7" s="3">
        <v>57</v>
      </c>
      <c r="E7" s="5">
        <f t="shared" ref="E7:E9" si="0" xml:space="preserve"> (B8-B7)/(C8-C7)*10^12*$E$2</f>
        <v>928322845714.28577</v>
      </c>
    </row>
    <row r="8" spans="1:7" x14ac:dyDescent="0.2">
      <c r="A8">
        <v>100</v>
      </c>
      <c r="B8" s="4">
        <v>100.001</v>
      </c>
      <c r="C8">
        <f>7.5*1000</f>
        <v>7500</v>
      </c>
      <c r="D8">
        <v>77.400000000000006</v>
      </c>
      <c r="E8" s="5">
        <f t="shared" si="0"/>
        <v>1082913360000.0004</v>
      </c>
    </row>
    <row r="9" spans="1:7" x14ac:dyDescent="0.2">
      <c r="A9">
        <v>150</v>
      </c>
      <c r="B9">
        <v>149.99700000000001</v>
      </c>
      <c r="C9">
        <v>10500</v>
      </c>
      <c r="D9">
        <v>44.7</v>
      </c>
      <c r="E9" s="5">
        <f t="shared" si="0"/>
        <v>984506072727.27258</v>
      </c>
      <c r="F9" t="s">
        <v>13</v>
      </c>
      <c r="G9" t="s">
        <v>12</v>
      </c>
    </row>
    <row r="10" spans="1:7" x14ac:dyDescent="0.2">
      <c r="A10">
        <v>200</v>
      </c>
      <c r="B10">
        <v>199.995</v>
      </c>
      <c r="C10">
        <v>13800</v>
      </c>
      <c r="D10">
        <v>35.9</v>
      </c>
      <c r="E10" s="2"/>
    </row>
    <row r="11" spans="1:7" x14ac:dyDescent="0.2">
      <c r="A11" t="s">
        <v>10</v>
      </c>
    </row>
    <row r="12" spans="1:7" x14ac:dyDescent="0.2">
      <c r="A12" t="s">
        <v>5</v>
      </c>
      <c r="B12" t="s">
        <v>14</v>
      </c>
      <c r="C12" t="s">
        <v>17</v>
      </c>
      <c r="D12" t="s">
        <v>8</v>
      </c>
      <c r="E12" t="s">
        <v>15</v>
      </c>
    </row>
    <row r="13" spans="1:7" x14ac:dyDescent="0.2">
      <c r="A13">
        <v>-25</v>
      </c>
      <c r="B13">
        <v>-25.001000000000001</v>
      </c>
      <c r="C13">
        <v>-1100</v>
      </c>
      <c r="D13">
        <v>29.1</v>
      </c>
      <c r="E13" s="5">
        <f xml:space="preserve"> (B14-B13)/(C14-C13)*10^12*$E$2</f>
        <v>1015271887500.0001</v>
      </c>
    </row>
    <row r="14" spans="1:7" x14ac:dyDescent="0.2">
      <c r="A14">
        <v>-50</v>
      </c>
      <c r="B14" s="4">
        <v>-50</v>
      </c>
      <c r="C14">
        <v>-2700</v>
      </c>
      <c r="D14">
        <v>10.6</v>
      </c>
      <c r="E14" s="5">
        <f t="shared" ref="E14:E16" si="1" xml:space="preserve"> (B15-B14)/(C15-C14)*10^12*$E$2</f>
        <v>1120367234482.7585</v>
      </c>
    </row>
    <row r="15" spans="1:7" x14ac:dyDescent="0.2">
      <c r="A15">
        <v>-100</v>
      </c>
      <c r="B15">
        <v>-100.001</v>
      </c>
      <c r="C15">
        <v>-5600</v>
      </c>
      <c r="D15">
        <v>35.5</v>
      </c>
      <c r="E15" s="5">
        <f t="shared" si="1"/>
        <v>1160264314285.7146</v>
      </c>
    </row>
    <row r="16" spans="1:7" x14ac:dyDescent="0.2">
      <c r="A16">
        <v>-150</v>
      </c>
      <c r="B16">
        <v>-149.99700000000001</v>
      </c>
      <c r="C16">
        <v>-8400</v>
      </c>
      <c r="D16">
        <v>60.2</v>
      </c>
      <c r="E16" s="5">
        <f t="shared" si="1"/>
        <v>1249615384615.3848</v>
      </c>
      <c r="F16" t="s">
        <v>16</v>
      </c>
    </row>
    <row r="17" spans="1:6" x14ac:dyDescent="0.2">
      <c r="A17">
        <v>-200</v>
      </c>
      <c r="B17">
        <v>-199.99700000000001</v>
      </c>
      <c r="C17" s="3">
        <v>-11000</v>
      </c>
      <c r="D17">
        <v>61.8</v>
      </c>
      <c r="E17" s="2"/>
      <c r="F17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JBepoxy_measurements_2025-05-16</vt:lpstr>
      <vt:lpstr>JBManual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Gumaro GONZALEZ</dc:creator>
  <cp:lastModifiedBy>Gonzalez, Gumaro</cp:lastModifiedBy>
  <dcterms:created xsi:type="dcterms:W3CDTF">2025-05-16T21:54:17Z</dcterms:created>
  <dcterms:modified xsi:type="dcterms:W3CDTF">2025-05-20T01:10:25Z</dcterms:modified>
</cp:coreProperties>
</file>